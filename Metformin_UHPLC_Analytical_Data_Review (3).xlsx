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Suitability" sheetId="1" r:id="rId5"/>
    <sheet state="visible" name="Accuracy" sheetId="2" r:id="rId6"/>
    <sheet state="visible" name="Robustness" sheetId="3" r:id="rId7"/>
    <sheet state="visible" name=" QC_Review" sheetId="4" r:id="rId8"/>
    <sheet state="visible" name="Final_Report" sheetId="5" r:id="rId9"/>
  </sheets>
  <definedNames/>
  <calcPr/>
</workbook>
</file>

<file path=xl/sharedStrings.xml><?xml version="1.0" encoding="utf-8"?>
<sst xmlns="http://schemas.openxmlformats.org/spreadsheetml/2006/main" count="131" uniqueCount="96">
  <si>
    <t>Parameter</t>
  </si>
  <si>
    <t>Observed value</t>
  </si>
  <si>
    <t>Limits</t>
  </si>
  <si>
    <t>Review Decision</t>
  </si>
  <si>
    <t>No. of theoretical plates</t>
  </si>
  <si>
    <t>&gt; 1000</t>
  </si>
  <si>
    <t>Tailing factor (symmetry)</t>
  </si>
  <si>
    <t>&lt; 1.5</t>
  </si>
  <si>
    <t>Regression equation</t>
  </si>
  <si>
    <t>y = 5.22229e-007x + 0.460672</t>
  </si>
  <si>
    <r>
      <rPr>
        <rFont val="Cambria"/>
        <color rgb="FF1B1B1B"/>
        <sz val="17.0"/>
      </rPr>
      <t>Correlation coefficient (r</t>
    </r>
    <r>
      <rPr>
        <rFont val="Revert"/>
        <color rgb="FF1B1B1B"/>
        <sz val="10.0"/>
      </rPr>
      <t>2</t>
    </r>
    <r>
      <rPr>
        <rFont val="Cambria"/>
        <color rgb="FF1B1B1B"/>
        <sz val="17.0"/>
      </rPr>
      <t>)</t>
    </r>
  </si>
  <si>
    <t>∼1 (0.99–1.00)</t>
  </si>
  <si>
    <t>Metformin Concentration (µg/mL)</t>
  </si>
  <si>
    <t>Mean (µg/mL)</t>
  </si>
  <si>
    <t>Recovery (%)</t>
  </si>
  <si>
    <t>SD</t>
  </si>
  <si>
    <t>RSD (%)</t>
  </si>
  <si>
    <t>Run</t>
  </si>
  <si>
    <t>Condition</t>
  </si>
  <si>
    <t>Peak_Area_Mean</t>
  </si>
  <si>
    <t>Peak_Area_SD</t>
  </si>
  <si>
    <t>Peak_Area_RSD_Percent</t>
  </si>
  <si>
    <t>RT_Mean</t>
  </si>
  <si>
    <t>RT_SD</t>
  </si>
  <si>
    <t>RT_RSD_Percent</t>
  </si>
  <si>
    <t>Column temperature (°C)</t>
  </si>
  <si>
    <t>Flow rate (mL/min)</t>
  </si>
  <si>
    <t>Injection volume (µL)</t>
  </si>
  <si>
    <t>Mobile phase pH</t>
  </si>
  <si>
    <t>Result</t>
  </si>
  <si>
    <t>Acceptance Criteria</t>
  </si>
  <si>
    <t>QC Decision</t>
  </si>
  <si>
    <t>Reviewer Comments</t>
  </si>
  <si>
    <t>QC Summary</t>
  </si>
  <si>
    <t>Theoretical Plates</t>
  </si>
  <si>
    <t>&gt;1000</t>
  </si>
  <si>
    <t>PASS</t>
  </si>
  <si>
    <t>Meets system suitability criteria</t>
  </si>
  <si>
    <t>Tailing Factor</t>
  </si>
  <si>
    <t>&lt;1.5</t>
  </si>
  <si>
    <t>INVESTIGATE</t>
  </si>
  <si>
    <t>Linearity (R²)</t>
  </si>
  <si>
    <t>&gt;=0.999895</t>
  </si>
  <si>
    <t>Meets the reported UHPLC linearity criterion.</t>
  </si>
  <si>
    <t>TOTAL REVIEWED</t>
  </si>
  <si>
    <t>Accuracy – Recovery (2.5)</t>
  </si>
  <si>
    <t>90–110%</t>
  </si>
  <si>
    <t>Recovery 98.656% is within the acceptance range.</t>
  </si>
  <si>
    <t>PASS Rate</t>
  </si>
  <si>
    <t>Precision – %RSD (2.5)</t>
  </si>
  <si>
    <t>&lt;10%</t>
  </si>
  <si>
    <t>RSD 2.485% is below the reported 10% limit.</t>
  </si>
  <si>
    <t>Accuracy – Recovery (5)</t>
  </si>
  <si>
    <t>Recovery near 100%; acceptance criteria need verification</t>
  </si>
  <si>
    <t>Precision – %RSD (5)</t>
  </si>
  <si>
    <t>- RSD 0.887% is below the reported 10% limit.</t>
  </si>
  <si>
    <t>Accuracy – Recovery (10)</t>
  </si>
  <si>
    <t>- Recovery 100.362% is within the reported acceptance range.</t>
  </si>
  <si>
    <t>Accuracy – Recovery (15)</t>
  </si>
  <si>
    <t>Recovery 100.513% is within the reported acceptance range.</t>
  </si>
  <si>
    <t>Accuracy – Recovery (20)</t>
  </si>
  <si>
    <t>Recovery 101.003% is within the reported acceptance range.</t>
  </si>
  <si>
    <t>Accuracy – Recovery (40)</t>
  </si>
  <si>
    <t>- Recovery 100.086% is within the reported acceptance range.</t>
  </si>
  <si>
    <t>Precision – %RSD (10)</t>
  </si>
  <si>
    <t>- RSD 0.305% is below the reported 10% limit.</t>
  </si>
  <si>
    <t>Precision – %RSD (15)</t>
  </si>
  <si>
    <t>RSD 0.570% is below the reported 10% limit</t>
  </si>
  <si>
    <t>Precision – %RSD (20)</t>
  </si>
  <si>
    <t>RSD 0.531% is below the reported 10% limit.</t>
  </si>
  <si>
    <t>Precision – %RSD (40)</t>
  </si>
  <si>
    <t>RSD 0.589% is below the reported 10% limit.</t>
  </si>
  <si>
    <t>Robustness – Column Temperature (30°C)</t>
  </si>
  <si>
    <t>No numeric limit reported</t>
  </si>
  <si>
    <t>Peak area RSD 0.472%; no numeric acceptance limit reported.</t>
  </si>
  <si>
    <t>Robustness – Flow Rate (0.9 mL/min)</t>
  </si>
  <si>
    <t>Mean peak area 50,742,178; no numeric acceptance limit reported.</t>
  </si>
  <si>
    <t>Robustness – Injection Volume (18 µL)</t>
  </si>
  <si>
    <t>Mean peak area 51,373,063; no numeric acceptance limit reported.</t>
  </si>
  <si>
    <t>Robustness – Mobile Phase pH (3.5)</t>
  </si>
  <si>
    <t>Mean peak area 56,675,050; no numeric acceptance limit reported.</t>
  </si>
  <si>
    <t>Metformin UHPLC – Analytical Data Review Report</t>
  </si>
  <si>
    <t>Project Objective</t>
  </si>
  <si>
    <t>Review published Metformin UHPLC validation data, evaluate reported results against documented criteria, and identify findings requiring further investigation.</t>
  </si>
  <si>
    <t>QC Review Summary</t>
  </si>
  <si>
    <t>Total Parameters Reviewed: 19</t>
  </si>
  <si>
    <t>PASS: 15 (78.95%)</t>
  </si>
  <si>
    <t>INVESTIGATE: 4 (21.05%)</t>
  </si>
  <si>
    <t>Key Findings</t>
  </si>
  <si>
    <t>15 results were classified as PASS based on the criteria used in this review.</t>
  </si>
  <si>
    <t>Four robustness results require further investigation because numeric acceptance limits were not reported.</t>
  </si>
  <si>
    <t>Reviewer Recommendations</t>
  </si>
  <si>
    <t>Verify documented acceptance criteria for the four robustness results before assigning final PASS or FAIL decisions.</t>
  </si>
  <si>
    <t>Data Source</t>
  </si>
  <si>
    <t>Published Metformin UHPLC study (PMC11233872)</t>
  </si>
  <si>
    <t>https://pmc.ncbi.nlm.nih.gov/articles/PMC11233872/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</si>
</sst>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7.0"/>
      <color rgb="FFFFFFFF"/>
      <name val="Cambria"/>
    </font>
    <font>
      <sz val="17.0"/>
      <color rgb="FF1B1B1B"/>
      <name val="Cambria"/>
    </font>
    <font>
      <b/>
      <sz val="12.0"/>
      <color rgb="FFFFFFFF"/>
      <name val="Aptos Narrow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b/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Font="1"/>
    <xf borderId="0" fillId="2" fontId="3" numFmtId="0" xfId="0" applyAlignment="1" applyFill="1" applyFont="1">
      <alignment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11233872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1.0"/>
    <col customWidth="1" min="2" max="2" width="23.0"/>
    <col customWidth="1" min="3" max="3" width="24.0"/>
    <col customWidth="1" min="4" max="4" width="22.0"/>
    <col customWidth="1" min="5" max="26" width="10.56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1875.0</v>
      </c>
      <c r="C2" s="2" t="s">
        <v>5</v>
      </c>
    </row>
    <row r="3" ht="22.5" customHeight="1">
      <c r="A3" s="2" t="s">
        <v>6</v>
      </c>
      <c r="B3" s="2">
        <v>1.37</v>
      </c>
      <c r="C3" s="2" t="s">
        <v>7</v>
      </c>
    </row>
    <row r="4" ht="22.5" customHeight="1">
      <c r="A4" s="2" t="s">
        <v>8</v>
      </c>
      <c r="B4" s="2" t="s">
        <v>9</v>
      </c>
      <c r="C4" s="2"/>
    </row>
    <row r="5" ht="22.5" customHeight="1">
      <c r="A5" s="2" t="s">
        <v>10</v>
      </c>
      <c r="B5" s="2">
        <v>0.999944</v>
      </c>
      <c r="C5" s="2" t="s">
        <v>11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4.0"/>
    <col customWidth="1" min="2" max="2" width="21.0"/>
    <col customWidth="1" min="3" max="3" width="19.0"/>
    <col customWidth="1" min="4" max="4" width="14.0"/>
    <col customWidth="1" min="5" max="5" width="15.0"/>
    <col customWidth="1" min="6" max="26" width="10.56"/>
  </cols>
  <sheetData>
    <row r="1" ht="31.5" customHeight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ht="24.0" customHeight="1">
      <c r="A2" s="4">
        <v>2.5</v>
      </c>
      <c r="B2" s="4">
        <v>2.466</v>
      </c>
      <c r="C2" s="4">
        <v>98.656</v>
      </c>
      <c r="D2" s="4">
        <v>0.061</v>
      </c>
      <c r="E2" s="4">
        <v>2.485</v>
      </c>
    </row>
    <row r="3" ht="24.0" customHeight="1">
      <c r="A3" s="4">
        <v>5.0</v>
      </c>
      <c r="B3" s="4">
        <v>4.943</v>
      </c>
      <c r="C3" s="4">
        <v>98.857</v>
      </c>
      <c r="D3" s="4">
        <v>0.044</v>
      </c>
      <c r="E3" s="4">
        <v>0.887</v>
      </c>
    </row>
    <row r="4" ht="24.0" customHeight="1">
      <c r="A4" s="4">
        <v>10.0</v>
      </c>
      <c r="B4" s="4">
        <v>10.036</v>
      </c>
      <c r="C4" s="4">
        <v>100.362</v>
      </c>
      <c r="D4" s="4">
        <v>0.031</v>
      </c>
      <c r="E4" s="4">
        <v>0.305</v>
      </c>
    </row>
    <row r="5" ht="24.0" customHeight="1">
      <c r="A5" s="4">
        <v>15.0</v>
      </c>
      <c r="B5" s="4">
        <v>15.077</v>
      </c>
      <c r="C5" s="5">
        <v>100.513</v>
      </c>
      <c r="D5" s="4">
        <v>0.086</v>
      </c>
      <c r="E5" s="4">
        <v>0.57</v>
      </c>
    </row>
    <row r="6" ht="24.0" customHeight="1">
      <c r="A6" s="4">
        <v>20.0</v>
      </c>
      <c r="B6" s="4">
        <v>20.201</v>
      </c>
      <c r="C6" s="5">
        <v>101.003</v>
      </c>
      <c r="D6" s="4">
        <v>0.107</v>
      </c>
      <c r="E6" s="4">
        <v>0.531</v>
      </c>
    </row>
    <row r="7" ht="24.0" customHeight="1">
      <c r="A7" s="4">
        <v>40.0</v>
      </c>
      <c r="B7" s="4">
        <v>40.035</v>
      </c>
      <c r="C7" s="4">
        <v>100.086</v>
      </c>
      <c r="D7" s="4">
        <v>0.236</v>
      </c>
      <c r="E7" s="4">
        <v>0.589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0"/>
    <col customWidth="1" min="2" max="2" width="29.0"/>
    <col customWidth="1" min="3" max="3" width="16.0"/>
    <col customWidth="1" min="4" max="4" width="22.0"/>
    <col customWidth="1" min="5" max="5" width="20.0"/>
    <col customWidth="1" min="6" max="6" width="26.0"/>
    <col customWidth="1" min="7" max="8" width="15.0"/>
    <col customWidth="1" min="9" max="9" width="24.0"/>
    <col customWidth="1" min="10" max="26" width="8.56"/>
  </cols>
  <sheetData>
    <row r="1" ht="31.5" customHeight="1">
      <c r="A1" s="3" t="s">
        <v>17</v>
      </c>
      <c r="B1" s="3" t="s">
        <v>0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ht="24.0" customHeight="1">
      <c r="A2" s="4">
        <v>1.0</v>
      </c>
      <c r="B2" s="4" t="s">
        <v>25</v>
      </c>
      <c r="C2" s="4">
        <v>30.0</v>
      </c>
      <c r="D2" s="4">
        <v>5.6824654E7</v>
      </c>
      <c r="E2" s="4">
        <v>268221.6</v>
      </c>
      <c r="F2" s="4">
        <v>0.472</v>
      </c>
      <c r="G2" s="4">
        <v>1.192</v>
      </c>
      <c r="H2" s="4">
        <v>0.0011</v>
      </c>
      <c r="I2" s="4">
        <v>0.0919</v>
      </c>
    </row>
    <row r="3" ht="24.0" customHeight="1">
      <c r="A3" s="4">
        <v>2.0</v>
      </c>
      <c r="B3" s="4" t="s">
        <v>26</v>
      </c>
      <c r="C3" s="4">
        <v>0.9</v>
      </c>
      <c r="D3" s="4">
        <v>5.0742178E7</v>
      </c>
      <c r="E3" s="4">
        <v>213868.2</v>
      </c>
      <c r="F3" s="4">
        <v>0.4215</v>
      </c>
      <c r="G3" s="4">
        <v>1.0677</v>
      </c>
      <c r="H3" s="4">
        <v>8.0E-4</v>
      </c>
      <c r="I3" s="4">
        <v>0.0765</v>
      </c>
    </row>
    <row r="4" ht="24.0" customHeight="1">
      <c r="A4" s="4">
        <v>3.0</v>
      </c>
      <c r="B4" s="4" t="s">
        <v>27</v>
      </c>
      <c r="C4" s="4">
        <v>18.0</v>
      </c>
      <c r="D4" s="4">
        <v>5.1373063E7</v>
      </c>
      <c r="E4" s="4">
        <v>233477.1</v>
      </c>
      <c r="F4" s="4">
        <v>0.4545</v>
      </c>
      <c r="G4" s="4">
        <v>1.202</v>
      </c>
      <c r="H4" s="4">
        <v>6.0E-4</v>
      </c>
      <c r="I4" s="4">
        <v>0.0526</v>
      </c>
    </row>
    <row r="5" ht="24.0" customHeight="1">
      <c r="A5" s="4">
        <v>4.0</v>
      </c>
      <c r="B5" s="4" t="s">
        <v>28</v>
      </c>
      <c r="C5" s="4">
        <v>3.5</v>
      </c>
      <c r="D5" s="4">
        <v>5.667505E7</v>
      </c>
      <c r="E5" s="4">
        <v>257438.9</v>
      </c>
      <c r="F5" s="4">
        <v>0.4542</v>
      </c>
      <c r="G5" s="4">
        <v>1.2</v>
      </c>
      <c r="H5" s="4">
        <v>6.0E-4</v>
      </c>
      <c r="I5" s="4">
        <v>0.0527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3" max="3" width="20.78"/>
    <col customWidth="1" min="4" max="4" width="12.89"/>
    <col customWidth="1" min="5" max="5" width="58.11"/>
    <col customWidth="1" min="7" max="7" width="16.33"/>
  </cols>
  <sheetData>
    <row r="1">
      <c r="A1" s="5" t="s">
        <v>0</v>
      </c>
      <c r="B1" s="6" t="s">
        <v>29</v>
      </c>
      <c r="C1" s="6" t="s">
        <v>30</v>
      </c>
      <c r="D1" s="6" t="s">
        <v>31</v>
      </c>
      <c r="E1" s="6" t="s">
        <v>32</v>
      </c>
      <c r="G1" s="5" t="s">
        <v>33</v>
      </c>
    </row>
    <row r="2">
      <c r="A2" s="6" t="s">
        <v>34</v>
      </c>
      <c r="B2" s="7">
        <v>1875.0</v>
      </c>
      <c r="C2" s="6" t="s">
        <v>35</v>
      </c>
      <c r="D2" s="6" t="s">
        <v>36</v>
      </c>
      <c r="E2" s="6" t="s">
        <v>37</v>
      </c>
      <c r="G2" s="5" t="s">
        <v>36</v>
      </c>
      <c r="H2" s="4">
        <f>COUNTIF(D2:D20,"PASS")</f>
        <v>15</v>
      </c>
    </row>
    <row r="3">
      <c r="A3" s="6" t="s">
        <v>38</v>
      </c>
      <c r="B3" s="7">
        <v>1.37</v>
      </c>
      <c r="C3" s="6" t="s">
        <v>39</v>
      </c>
      <c r="D3" s="6" t="s">
        <v>36</v>
      </c>
      <c r="E3" s="6" t="s">
        <v>37</v>
      </c>
      <c r="G3" s="5" t="s">
        <v>40</v>
      </c>
      <c r="H3" s="4">
        <f>COUNTIF(D2:D20,"INVESTIGATE")</f>
        <v>4</v>
      </c>
    </row>
    <row r="4">
      <c r="A4" s="6" t="s">
        <v>41</v>
      </c>
      <c r="B4" s="7">
        <v>0.999944</v>
      </c>
      <c r="C4" s="8" t="s">
        <v>42</v>
      </c>
      <c r="D4" s="8" t="s">
        <v>36</v>
      </c>
      <c r="E4" s="8" t="s">
        <v>43</v>
      </c>
      <c r="G4" s="5" t="s">
        <v>44</v>
      </c>
      <c r="H4" s="4">
        <f>COUNTA(A2:A20)</f>
        <v>19</v>
      </c>
    </row>
    <row r="5">
      <c r="A5" s="6" t="s">
        <v>45</v>
      </c>
      <c r="B5" s="7">
        <v>98.656</v>
      </c>
      <c r="C5" s="8" t="s">
        <v>46</v>
      </c>
      <c r="D5" s="8" t="s">
        <v>36</v>
      </c>
      <c r="E5" s="8" t="s">
        <v>47</v>
      </c>
      <c r="G5" s="5" t="s">
        <v>48</v>
      </c>
      <c r="H5" s="9">
        <f>H2/H4</f>
        <v>0.7894736842</v>
      </c>
    </row>
    <row r="6">
      <c r="A6" s="6" t="s">
        <v>49</v>
      </c>
      <c r="B6" s="7">
        <v>2.485</v>
      </c>
      <c r="C6" s="8" t="s">
        <v>50</v>
      </c>
      <c r="D6" s="8" t="s">
        <v>36</v>
      </c>
      <c r="E6" s="8" t="s">
        <v>51</v>
      </c>
      <c r="H6" s="9"/>
    </row>
    <row r="7">
      <c r="A7" s="6" t="s">
        <v>52</v>
      </c>
      <c r="B7" s="7">
        <v>98.857</v>
      </c>
      <c r="C7" s="8" t="s">
        <v>46</v>
      </c>
      <c r="D7" s="8" t="s">
        <v>36</v>
      </c>
      <c r="E7" s="6" t="s">
        <v>53</v>
      </c>
    </row>
    <row r="8">
      <c r="A8" s="6" t="s">
        <v>54</v>
      </c>
      <c r="B8" s="7">
        <v>0.887</v>
      </c>
      <c r="C8" s="8" t="s">
        <v>50</v>
      </c>
      <c r="D8" s="8" t="s">
        <v>36</v>
      </c>
      <c r="E8" s="8" t="s">
        <v>55</v>
      </c>
    </row>
    <row r="9">
      <c r="A9" s="8" t="s">
        <v>56</v>
      </c>
      <c r="B9" s="7">
        <v>100.362</v>
      </c>
      <c r="C9" s="8" t="s">
        <v>46</v>
      </c>
      <c r="D9" s="8" t="s">
        <v>36</v>
      </c>
      <c r="E9" s="8" t="s">
        <v>57</v>
      </c>
    </row>
    <row r="10">
      <c r="A10" s="5" t="s">
        <v>58</v>
      </c>
      <c r="B10" s="10">
        <v>100.513</v>
      </c>
      <c r="C10" s="5" t="s">
        <v>46</v>
      </c>
      <c r="D10" s="5" t="s">
        <v>36</v>
      </c>
      <c r="E10" s="5" t="s">
        <v>59</v>
      </c>
    </row>
    <row r="11">
      <c r="A11" s="5" t="s">
        <v>60</v>
      </c>
      <c r="B11" s="5">
        <v>101.003</v>
      </c>
      <c r="C11" s="5" t="s">
        <v>46</v>
      </c>
      <c r="D11" s="5" t="s">
        <v>36</v>
      </c>
      <c r="E11" s="11" t="s">
        <v>61</v>
      </c>
    </row>
    <row r="12">
      <c r="A12" s="5" t="s">
        <v>62</v>
      </c>
      <c r="B12" s="5">
        <v>100.086</v>
      </c>
      <c r="C12" s="5" t="s">
        <v>46</v>
      </c>
      <c r="D12" s="5" t="s">
        <v>36</v>
      </c>
      <c r="E12" s="5" t="s">
        <v>63</v>
      </c>
    </row>
    <row r="13">
      <c r="A13" s="5" t="s">
        <v>64</v>
      </c>
      <c r="B13" s="10">
        <v>0.305</v>
      </c>
      <c r="C13" s="5" t="s">
        <v>50</v>
      </c>
      <c r="D13" s="5" t="s">
        <v>36</v>
      </c>
      <c r="E13" s="5" t="s">
        <v>65</v>
      </c>
    </row>
    <row r="14">
      <c r="A14" s="5" t="s">
        <v>66</v>
      </c>
      <c r="B14" s="5">
        <v>0.57</v>
      </c>
      <c r="C14" s="5" t="s">
        <v>50</v>
      </c>
      <c r="D14" s="5" t="s">
        <v>36</v>
      </c>
      <c r="E14" s="5" t="s">
        <v>67</v>
      </c>
    </row>
    <row r="15">
      <c r="A15" s="5" t="s">
        <v>68</v>
      </c>
      <c r="B15" s="10">
        <v>0.531</v>
      </c>
      <c r="C15" s="5" t="s">
        <v>50</v>
      </c>
      <c r="D15" s="5" t="s">
        <v>36</v>
      </c>
      <c r="E15" s="5" t="s">
        <v>69</v>
      </c>
    </row>
    <row r="16">
      <c r="A16" s="5" t="s">
        <v>70</v>
      </c>
      <c r="B16" s="10">
        <v>0.589</v>
      </c>
      <c r="C16" s="5" t="s">
        <v>50</v>
      </c>
      <c r="D16" s="5" t="s">
        <v>36</v>
      </c>
      <c r="E16" s="5" t="s">
        <v>71</v>
      </c>
    </row>
    <row r="17">
      <c r="A17" s="10" t="s">
        <v>72</v>
      </c>
      <c r="B17" s="10">
        <v>5.6824654E7</v>
      </c>
      <c r="C17" s="5" t="s">
        <v>73</v>
      </c>
      <c r="D17" s="5" t="s">
        <v>40</v>
      </c>
      <c r="E17" s="5" t="s">
        <v>74</v>
      </c>
    </row>
    <row r="18">
      <c r="A18" s="10" t="s">
        <v>75</v>
      </c>
      <c r="B18" s="10">
        <v>5.0742178E7</v>
      </c>
      <c r="C18" s="5" t="s">
        <v>73</v>
      </c>
      <c r="D18" s="5" t="s">
        <v>40</v>
      </c>
      <c r="E18" s="5" t="s">
        <v>76</v>
      </c>
    </row>
    <row r="19">
      <c r="A19" s="10" t="s">
        <v>77</v>
      </c>
      <c r="B19" s="10">
        <v>5.1373063E7</v>
      </c>
      <c r="C19" s="5" t="s">
        <v>73</v>
      </c>
      <c r="D19" s="5" t="s">
        <v>40</v>
      </c>
      <c r="E19" s="5" t="s">
        <v>78</v>
      </c>
    </row>
    <row r="20">
      <c r="A20" s="5" t="s">
        <v>79</v>
      </c>
      <c r="B20" s="10">
        <v>5.667505E7</v>
      </c>
      <c r="C20" s="5" t="s">
        <v>73</v>
      </c>
      <c r="D20" s="5" t="s">
        <v>40</v>
      </c>
      <c r="E20" s="5" t="s">
        <v>80</v>
      </c>
    </row>
    <row r="21">
      <c r="D21" s="10"/>
    </row>
    <row r="22">
      <c r="D22" s="5"/>
    </row>
    <row r="23">
      <c r="D23" s="5"/>
    </row>
    <row r="24">
      <c r="D24" s="5"/>
    </row>
    <row r="25">
      <c r="D2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4.89"/>
  </cols>
  <sheetData>
    <row r="1">
      <c r="A1" s="12" t="s">
        <v>81</v>
      </c>
      <c r="B1" s="13"/>
      <c r="C1" s="13"/>
      <c r="D1" s="13"/>
      <c r="E1" s="13"/>
      <c r="F1" s="13"/>
      <c r="G1" s="13"/>
    </row>
    <row r="2">
      <c r="A2" s="13"/>
      <c r="B2" s="13"/>
      <c r="C2" s="13"/>
      <c r="D2" s="13"/>
      <c r="E2" s="13"/>
      <c r="F2" s="13"/>
      <c r="G2" s="13"/>
    </row>
    <row r="3">
      <c r="A3" s="12" t="s">
        <v>82</v>
      </c>
      <c r="B3" s="13"/>
      <c r="C3" s="13"/>
      <c r="D3" s="13"/>
      <c r="E3" s="13"/>
      <c r="F3" s="13"/>
      <c r="G3" s="13"/>
    </row>
    <row r="4">
      <c r="A4" s="14" t="s">
        <v>83</v>
      </c>
      <c r="B4" s="13"/>
      <c r="C4" s="13"/>
      <c r="D4" s="13"/>
      <c r="E4" s="13"/>
      <c r="F4" s="13"/>
      <c r="G4" s="13"/>
    </row>
    <row r="5">
      <c r="A5" s="13"/>
      <c r="B5" s="13"/>
      <c r="C5" s="13"/>
      <c r="D5" s="13"/>
      <c r="E5" s="13"/>
      <c r="F5" s="13"/>
      <c r="G5" s="13"/>
    </row>
    <row r="6">
      <c r="A6" s="12" t="s">
        <v>84</v>
      </c>
      <c r="B6" s="13"/>
      <c r="C6" s="13"/>
      <c r="D6" s="13"/>
      <c r="E6" s="13"/>
      <c r="F6" s="13"/>
      <c r="G6" s="13"/>
    </row>
    <row r="7">
      <c r="A7" s="11" t="s">
        <v>85</v>
      </c>
      <c r="B7" s="13"/>
      <c r="C7" s="13"/>
      <c r="D7" s="13"/>
      <c r="E7" s="13"/>
      <c r="F7" s="13"/>
      <c r="G7" s="13"/>
    </row>
    <row r="8">
      <c r="A8" s="11" t="s">
        <v>86</v>
      </c>
      <c r="B8" s="13"/>
      <c r="C8" s="13"/>
      <c r="D8" s="13"/>
      <c r="E8" s="13"/>
      <c r="F8" s="13"/>
      <c r="G8" s="13"/>
    </row>
    <row r="9">
      <c r="A9" s="11" t="s">
        <v>87</v>
      </c>
      <c r="B9" s="13"/>
      <c r="C9" s="13"/>
      <c r="D9" s="13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12" t="s">
        <v>88</v>
      </c>
      <c r="B11" s="13"/>
      <c r="C11" s="13"/>
      <c r="D11" s="13"/>
      <c r="E11" s="13"/>
      <c r="F11" s="13"/>
      <c r="G11" s="13"/>
    </row>
    <row r="12">
      <c r="A12" s="11" t="s">
        <v>89</v>
      </c>
      <c r="B12" s="13"/>
      <c r="C12" s="13"/>
      <c r="D12" s="13"/>
      <c r="E12" s="13"/>
      <c r="F12" s="13"/>
      <c r="G12" s="13"/>
    </row>
    <row r="13">
      <c r="A13" s="14" t="s">
        <v>90</v>
      </c>
      <c r="B13" s="13"/>
      <c r="C13" s="13"/>
      <c r="D13" s="13"/>
      <c r="E13" s="13"/>
      <c r="F13" s="13"/>
      <c r="G13" s="13"/>
    </row>
    <row r="14">
      <c r="A14" s="13"/>
      <c r="B14" s="13"/>
      <c r="C14" s="13"/>
      <c r="D14" s="13"/>
      <c r="E14" s="13"/>
      <c r="F14" s="13"/>
      <c r="G14" s="13"/>
    </row>
    <row r="15">
      <c r="A15" s="13"/>
      <c r="B15" s="13"/>
      <c r="C15" s="13"/>
      <c r="D15" s="13"/>
      <c r="E15" s="13"/>
      <c r="F15" s="13"/>
      <c r="G15" s="13"/>
    </row>
    <row r="16">
      <c r="A16" s="12" t="s">
        <v>91</v>
      </c>
      <c r="B16" s="13"/>
      <c r="C16" s="13"/>
      <c r="D16" s="13"/>
      <c r="E16" s="13"/>
      <c r="F16" s="13"/>
      <c r="G16" s="13"/>
    </row>
    <row r="17">
      <c r="A17" s="14" t="s">
        <v>92</v>
      </c>
      <c r="B17" s="13"/>
      <c r="C17" s="13"/>
      <c r="D17" s="13"/>
      <c r="E17" s="13"/>
      <c r="F17" s="13"/>
      <c r="G17" s="13"/>
    </row>
    <row r="18">
      <c r="A18" s="13"/>
      <c r="B18" s="13"/>
      <c r="C18" s="13"/>
      <c r="D18" s="13"/>
      <c r="E18" s="13"/>
      <c r="F18" s="13"/>
      <c r="G18" s="13"/>
    </row>
    <row r="19">
      <c r="A19" s="12" t="s">
        <v>93</v>
      </c>
      <c r="B19" s="13"/>
      <c r="C19" s="13"/>
      <c r="D19" s="13"/>
      <c r="E19" s="13"/>
      <c r="F19" s="13"/>
      <c r="G19" s="13"/>
    </row>
    <row r="20">
      <c r="A20" s="11" t="s">
        <v>94</v>
      </c>
      <c r="B20" s="13"/>
      <c r="C20" s="13"/>
      <c r="D20" s="13"/>
      <c r="E20" s="13"/>
      <c r="F20" s="13"/>
      <c r="G20" s="13"/>
    </row>
    <row r="21">
      <c r="A21" s="15" t="s">
        <v>95</v>
      </c>
      <c r="B21" s="13"/>
      <c r="C21" s="13"/>
      <c r="D21" s="13"/>
      <c r="E21" s="13"/>
      <c r="F21" s="13"/>
      <c r="G21" s="13"/>
    </row>
  </sheetData>
  <hyperlinks>
    <hyperlink r:id="rId1" ref="A21"/>
  </hyperlinks>
  <drawing r:id="rId2"/>
</worksheet>
</file>